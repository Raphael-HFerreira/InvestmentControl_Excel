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 Ferreira\Desktop\"/>
    </mc:Choice>
  </mc:AlternateContent>
  <xr:revisionPtr revIDLastSave="0" documentId="13_ncr:1_{59DB0D49-E255-4566-B8AE-8CFE69E097E0}" xr6:coauthVersionLast="47" xr6:coauthVersionMax="47" xr10:uidLastSave="{00000000-0000-0000-0000-000000000000}"/>
  <bookViews>
    <workbookView xWindow="-105" yWindow="0" windowWidth="19410" windowHeight="20985" xr2:uid="{C15F257E-B296-4F9B-80D0-29C0A9C05E78}"/>
  </bookViews>
  <sheets>
    <sheet name="Sheet2" sheetId="2" r:id="rId1"/>
    <sheet name="Base_Validação" sheetId="3" r:id="rId2"/>
  </sheets>
  <definedNames>
    <definedName name="Inv_Mensal">Sheet2!$E$17</definedName>
    <definedName name="Periodo_Invest">Sheet2!$E$18</definedName>
    <definedName name="Rendimento_Carteira">Sheet2!$E$13</definedName>
    <definedName name="Salario">Sheet2!$E$12</definedName>
    <definedName name="Sugestão_Investimento">Sheet2!$E$14</definedName>
    <definedName name="Tax_RenMensal">Sheet2!$E$19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" l="1" a="1"/>
  <c r="D47" i="2" s="1"/>
  <c r="D48" i="2" l="1" a="1"/>
  <c r="D48" i="2" s="1"/>
  <c r="D49" i="2" a="1"/>
  <c r="D49" i="2" s="1"/>
  <c r="D50" i="2" a="1"/>
  <c r="D50" i="2" s="1"/>
  <c r="D46" i="2" a="1"/>
  <c r="D46" i="2" s="1"/>
  <c r="D45" i="2" a="1"/>
  <c r="D45" i="2" s="1"/>
  <c r="E42" i="2"/>
  <c r="D31" i="2"/>
  <c r="E31" i="2" s="1"/>
  <c r="D29" i="2"/>
  <c r="E29" i="2" s="1"/>
  <c r="D28" i="2"/>
  <c r="E28" i="2" s="1"/>
  <c r="D27" i="2"/>
  <c r="E27" i="2" s="1"/>
  <c r="D26" i="2"/>
  <c r="E26" i="2" s="1"/>
  <c r="D25" i="2"/>
  <c r="E25" i="2" s="1"/>
  <c r="E20" i="2"/>
  <c r="E21" i="2" s="1"/>
  <c r="E49" i="2" l="1"/>
  <c r="E48" i="2"/>
  <c r="E45" i="2"/>
  <c r="E50" i="2"/>
  <c r="E47" i="2"/>
  <c r="E46" i="2"/>
  <c r="E51" i="2" l="1"/>
  <c r="E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<sst xmlns="http://schemas.openxmlformats.org/spreadsheetml/2006/main" count="49" uniqueCount="39">
  <si>
    <t>INVESTIMENTO MENSAL</t>
  </si>
  <si>
    <t>Salário</t>
  </si>
  <si>
    <t>Rendimento Carteira</t>
  </si>
  <si>
    <t>Sugestão de Investimento (30%)</t>
  </si>
  <si>
    <t>CONFIGURAÇÕES INICIAIS</t>
  </si>
  <si>
    <t>Investimento Mensal</t>
  </si>
  <si>
    <t>Taxa de Rendimento Mensal</t>
  </si>
  <si>
    <t>Anos de Investimento</t>
  </si>
  <si>
    <t xml:space="preserve">Patrimônio Acumulado </t>
  </si>
  <si>
    <t>Dividendos Mensais</t>
  </si>
  <si>
    <t>SIMULAÇÃO PATRIMÔNIO X INVESTIMENTO</t>
  </si>
  <si>
    <t>Tempo de Investimento</t>
  </si>
  <si>
    <t>Patrimônio Acumulado</t>
  </si>
  <si>
    <t>Dividendo</t>
  </si>
  <si>
    <t>5 Anos</t>
  </si>
  <si>
    <t>10 Anos</t>
  </si>
  <si>
    <t>20 Anos</t>
  </si>
  <si>
    <t>30 Anos</t>
  </si>
  <si>
    <t>2 Anos</t>
  </si>
  <si>
    <t>Número de anos</t>
  </si>
  <si>
    <t>Para períodos especificos, seleciona abaixo o tempo de investimento:</t>
  </si>
  <si>
    <t>PERFIL DO USUÁRIO</t>
  </si>
  <si>
    <t>Perfil do usuario</t>
  </si>
  <si>
    <t>Moderado</t>
  </si>
  <si>
    <t>Agressivo</t>
  </si>
  <si>
    <t>Conservador</t>
  </si>
  <si>
    <t>VALOR MENSAL A SER INVESTIDO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</si>
  <si>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</si>
  <si>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</si>
  <si>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</si>
  <si>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</si>
  <si>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</si>
  <si>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</si>
  <si>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</si>
  <si>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</si>
  <si>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</si>
  <si>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TOTAL</t>
  </si>
  <si>
    <t>BASE PARA XLOOKUP</t>
  </si>
  <si>
    <t>BASE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</si>
</sst>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\ &quot;Ano(s)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"/>
      <family val="2"/>
    </font>
    <font>
      <b/>
      <sz val="18"/>
      <name val="Segoe UI Semibold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82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9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0" fillId="3" borderId="0" xfId="0" applyFill="1"/>
    <xf numFmtId="164" fontId="6" fillId="3" borderId="6" xfId="1" applyNumberFormat="1" applyFont="1" applyFill="1" applyBorder="1" applyAlignment="1">
      <alignment horizontal="center"/>
    </xf>
    <xf numFmtId="10" fontId="6" fillId="3" borderId="9" xfId="0" applyNumberFormat="1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164" fontId="8" fillId="3" borderId="21" xfId="1" applyNumberFormat="1" applyFont="1" applyFill="1" applyBorder="1" applyAlignment="1">
      <alignment horizontal="center"/>
    </xf>
    <xf numFmtId="164" fontId="8" fillId="6" borderId="22" xfId="0" applyNumberFormat="1" applyFont="1" applyFill="1" applyBorder="1" applyAlignment="1">
      <alignment horizontal="center"/>
    </xf>
    <xf numFmtId="10" fontId="8" fillId="3" borderId="29" xfId="2" applyNumberFormat="1" applyFont="1" applyFill="1" applyBorder="1" applyAlignment="1">
      <alignment horizontal="center"/>
    </xf>
    <xf numFmtId="8" fontId="8" fillId="6" borderId="19" xfId="0" applyNumberFormat="1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11" fillId="6" borderId="37" xfId="0" applyFont="1" applyFill="1" applyBorder="1" applyAlignment="1">
      <alignment horizontal="center"/>
    </xf>
    <xf numFmtId="0" fontId="11" fillId="6" borderId="38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8" fontId="4" fillId="3" borderId="16" xfId="0" applyNumberFormat="1" applyFont="1" applyFill="1" applyBorder="1"/>
    <xf numFmtId="8" fontId="4" fillId="3" borderId="21" xfId="0" applyNumberFormat="1" applyFont="1" applyFill="1" applyBorder="1"/>
    <xf numFmtId="8" fontId="4" fillId="3" borderId="34" xfId="0" applyNumberFormat="1" applyFont="1" applyFill="1" applyBorder="1"/>
    <xf numFmtId="8" fontId="4" fillId="3" borderId="35" xfId="0" applyNumberFormat="1" applyFont="1" applyFill="1" applyBorder="1"/>
    <xf numFmtId="0" fontId="0" fillId="8" borderId="20" xfId="0" applyFill="1" applyBorder="1" applyAlignment="1">
      <alignment horizontal="center"/>
    </xf>
    <xf numFmtId="8" fontId="4" fillId="8" borderId="16" xfId="0" applyNumberFormat="1" applyFont="1" applyFill="1" applyBorder="1"/>
    <xf numFmtId="8" fontId="4" fillId="8" borderId="21" xfId="0" applyNumberFormat="1" applyFont="1" applyFill="1" applyBorder="1"/>
    <xf numFmtId="0" fontId="0" fillId="8" borderId="39" xfId="0" applyFill="1" applyBorder="1" applyAlignment="1">
      <alignment horizontal="center"/>
    </xf>
    <xf numFmtId="8" fontId="4" fillId="8" borderId="40" xfId="0" applyNumberFormat="1" applyFont="1" applyFill="1" applyBorder="1"/>
    <xf numFmtId="8" fontId="4" fillId="8" borderId="29" xfId="0" applyNumberFormat="1" applyFont="1" applyFill="1" applyBorder="1"/>
    <xf numFmtId="165" fontId="8" fillId="3" borderId="21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0" fillId="8" borderId="0" xfId="0" applyFill="1"/>
    <xf numFmtId="0" fontId="4" fillId="8" borderId="0" xfId="0" applyFont="1" applyFill="1"/>
    <xf numFmtId="0" fontId="3" fillId="10" borderId="1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9" fontId="0" fillId="3" borderId="0" xfId="2" applyFont="1" applyFill="1" applyBorder="1" applyAlignment="1">
      <alignment horizontal="center" vertical="center"/>
    </xf>
    <xf numFmtId="0" fontId="3" fillId="10" borderId="13" xfId="0" applyFont="1" applyFill="1" applyBorder="1"/>
    <xf numFmtId="0" fontId="3" fillId="10" borderId="14" xfId="0" applyFont="1" applyFill="1" applyBorder="1" applyAlignment="1">
      <alignment horizontal="center"/>
    </xf>
    <xf numFmtId="164" fontId="4" fillId="5" borderId="15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0" fillId="0" borderId="0" xfId="2" applyFont="1"/>
    <xf numFmtId="164" fontId="0" fillId="11" borderId="0" xfId="0" applyNumberForma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8" fontId="4" fillId="3" borderId="0" xfId="0" applyNumberFormat="1" applyFont="1" applyFill="1"/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left"/>
    </xf>
    <xf numFmtId="0" fontId="6" fillId="3" borderId="24" xfId="0" applyFont="1" applyFill="1" applyBorder="1" applyAlignment="1">
      <alignment horizontal="left"/>
    </xf>
    <xf numFmtId="0" fontId="6" fillId="3" borderId="27" xfId="0" applyFont="1" applyFill="1" applyBorder="1" applyAlignment="1">
      <alignment horizontal="left"/>
    </xf>
    <xf numFmtId="0" fontId="6" fillId="3" borderId="28" xfId="0" applyFont="1" applyFill="1" applyBorder="1" applyAlignment="1">
      <alignment horizontal="left"/>
    </xf>
    <xf numFmtId="0" fontId="9" fillId="7" borderId="25" xfId="0" applyFont="1" applyFill="1" applyBorder="1" applyAlignment="1">
      <alignment horizontal="left"/>
    </xf>
    <xf numFmtId="0" fontId="9" fillId="7" borderId="26" xfId="0" applyFont="1" applyFill="1" applyBorder="1" applyAlignment="1">
      <alignment horizontal="left"/>
    </xf>
    <xf numFmtId="0" fontId="9" fillId="7" borderId="30" xfId="0" applyFont="1" applyFill="1" applyBorder="1" applyAlignment="1">
      <alignment horizontal="left"/>
    </xf>
    <xf numFmtId="0" fontId="9" fillId="7" borderId="31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/>
    </xf>
    <xf numFmtId="0" fontId="6" fillId="3" borderId="7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6" fillId="3" borderId="10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164" fontId="4" fillId="8" borderId="0" xfId="0" applyNumberFormat="1" applyFont="1" applyFill="1" applyAlignment="1">
      <alignment horizontal="center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682F"/>
      <color rgb="FFFFCC99"/>
      <color rgb="FFFF9900"/>
      <color rgb="FF320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682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Sheet2!$C$25:$C$29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Sheet2!$D$25:$D$29</c:f>
              <c:numCache>
                <c:formatCode>"R$"#,##0.00_);[Red]\("R$"#,##0.00\)</c:formatCode>
                <c:ptCount val="5"/>
                <c:pt idx="0">
                  <c:v>4084.1440946467824</c:v>
                </c:pt>
                <c:pt idx="1">
                  <c:v>12566.537099773146</c:v>
                </c:pt>
                <c:pt idx="2">
                  <c:v>36492.631879525827</c:v>
                </c:pt>
                <c:pt idx="3">
                  <c:v>168779.76001456208</c:v>
                </c:pt>
                <c:pt idx="4">
                  <c:v>648325.44825070712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3-46DA-BA1A-28C485AB9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598896"/>
        <c:axId val="115092222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Sheet2!$C$25:$C$29</c15:sqref>
                        </c15:formulaRef>
                      </c:ext>
                    </c:extLst>
                    <c:strCache>
                      <c:ptCount val="5"/>
                      <c:pt idx="0">
                        <c:v>2 Anos</c:v>
                      </c:pt>
                      <c:pt idx="1">
                        <c:v>5 Anos</c:v>
                      </c:pt>
                      <c:pt idx="2">
                        <c:v>10 Anos</c:v>
                      </c:pt>
                      <c:pt idx="3">
                        <c:v>20 Anos</c:v>
                      </c:pt>
                      <c:pt idx="4">
                        <c:v>30 Anos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Sheet2!$E$25:$E$29</c15:sqref>
                        </c15:formulaRef>
                      </c:ext>
                    </c:extLst>
                    <c:numCache>
                      <c:formatCode>"R$"#,##0.00_);[Red]\("R$"#,##0.00\)</c:formatCode>
                      <c:ptCount val="5"/>
                      <c:pt idx="0">
                        <c:v>24.504864567880695</c:v>
                      </c:pt>
                      <c:pt idx="1">
                        <c:v>75.399222598638872</c:v>
                      </c:pt>
                      <c:pt idx="2">
                        <c:v>218.95579127715496</c:v>
                      </c:pt>
                      <c:pt idx="3">
                        <c:v>1012.6785600873725</c:v>
                      </c:pt>
                      <c:pt idx="4">
                        <c:v>3889.9526895042427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E03-46DA-BA1A-28C485AB95BB}"/>
                  </c:ext>
                </c:extLst>
              </c15:ser>
            </c15:filteredBarSeries>
          </c:ext>
        </c:extLst>
      </c:barChart>
      <c:catAx>
        <c:axId val="145959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0922223"/>
        <c:crosses val="autoZero"/>
        <c:auto val="1"/>
        <c:lblAlgn val="ctr"/>
        <c:lblOffset val="100"/>
        <c:noMultiLvlLbl val="0"/>
      </c:catAx>
      <c:valAx>
        <c:axId val="1150922223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959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BD-475A-9204-4DAF27C74B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BD-475A-9204-4DAF27C74B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BD-475A-9204-4DAF27C74B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BD-475A-9204-4DAF27C74B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BD-475A-9204-4DAF27C74B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BD-475A-9204-4DAF27C74B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Sheet2!$C$45:$C$50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Sheet2!$D$45:$D$50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6-4BEE-8439-13ECA15D36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C3554B-AD71-7951-2B34-3A8207367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00725" cy="1733550"/>
        </a:xfrm>
        <a:prstGeom prst="rect">
          <a:avLst/>
        </a:prstGeom>
      </xdr:spPr>
    </xdr:pic>
    <xdr:clientData/>
  </xdr:twoCellAnchor>
  <xdr:twoCellAnchor>
    <xdr:from>
      <xdr:col>1</xdr:col>
      <xdr:colOff>500061</xdr:colOff>
      <xdr:row>31</xdr:row>
      <xdr:rowOff>114301</xdr:rowOff>
    </xdr:from>
    <xdr:to>
      <xdr:col>4</xdr:col>
      <xdr:colOff>1162049</xdr:colOff>
      <xdr:row>39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8D39C8-BDE4-F36F-95AB-0B706A966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485775</xdr:colOff>
      <xdr:row>51</xdr:row>
      <xdr:rowOff>90487</xdr:rowOff>
    </xdr:from>
    <xdr:to>
      <xdr:col>5</xdr:col>
      <xdr:colOff>0</xdr:colOff>
      <xdr:row>61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4EF521-A211-D6B9-1024-26E4F428C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8A6A-37CA-4EAA-A798-99DE76F03E39}">
  <dimension ref="A1:N86"/>
  <sheetViews>
    <sheetView showGridLines="0" tabSelected="1" topLeftCell="B25" zoomScale="115" zoomScaleNormal="115" workbookViewId="0">
      <selection activeCell="C31" sqref="C31"/>
    </sheetView>
  </sheetViews>
  <sheetFormatPr defaultColWidth="0" defaultRowHeight="15" zeroHeight="1" x14ac:dyDescent="0.25"/>
  <cols>
    <col min="1" max="1" width="0.85546875" style="1" hidden="1" customWidth="1"/>
    <col min="2" max="2" width="7.5703125" style="1" customWidth="1"/>
    <col min="3" max="3" width="29.7109375" style="1" bestFit="1" customWidth="1"/>
    <col min="4" max="4" width="24.85546875" style="1" customWidth="1"/>
    <col min="5" max="5" width="17.42578125" style="1" customWidth="1"/>
    <col min="6" max="6" width="7.42578125" style="1" customWidth="1"/>
    <col min="7" max="12" width="9.140625" style="1" hidden="1" customWidth="1"/>
    <col min="13" max="14" width="0.85546875" style="1" hidden="1" customWidth="1"/>
    <col min="15" max="16384" width="9.140625" style="1" hidden="1"/>
  </cols>
  <sheetData>
    <row r="1" spans="3:5" x14ac:dyDescent="0.25"/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ht="15.75" thickBot="1" x14ac:dyDescent="0.3"/>
    <row r="11" spans="3:5" ht="26.25" x14ac:dyDescent="0.25">
      <c r="C11" s="61" t="s">
        <v>4</v>
      </c>
      <c r="D11" s="62"/>
      <c r="E11" s="63"/>
    </row>
    <row r="12" spans="3:5" ht="15" customHeight="1" x14ac:dyDescent="0.3">
      <c r="C12" s="55" t="s">
        <v>1</v>
      </c>
      <c r="D12" s="56"/>
      <c r="E12" s="2">
        <v>4000</v>
      </c>
    </row>
    <row r="13" spans="3:5" ht="15" customHeight="1" x14ac:dyDescent="0.3">
      <c r="C13" s="57" t="s">
        <v>2</v>
      </c>
      <c r="D13" s="58"/>
      <c r="E13" s="3">
        <v>6.0000000000000001E-3</v>
      </c>
    </row>
    <row r="14" spans="3:5" ht="15" customHeight="1" thickBot="1" x14ac:dyDescent="0.35">
      <c r="C14" s="59" t="s">
        <v>3</v>
      </c>
      <c r="D14" s="60"/>
      <c r="E14" s="4">
        <f>E12*30%</f>
        <v>1200</v>
      </c>
    </row>
    <row r="15" spans="3:5" ht="15.75" thickBot="1" x14ac:dyDescent="0.3"/>
    <row r="16" spans="3:5" ht="26.25" x14ac:dyDescent="0.25">
      <c r="C16" s="64" t="s">
        <v>0</v>
      </c>
      <c r="D16" s="65"/>
      <c r="E16" s="66"/>
    </row>
    <row r="17" spans="3:5" ht="15" customHeight="1" x14ac:dyDescent="0.3">
      <c r="C17" s="47" t="s">
        <v>5</v>
      </c>
      <c r="D17" s="48"/>
      <c r="E17" s="6">
        <v>150</v>
      </c>
    </row>
    <row r="18" spans="3:5" ht="15" customHeight="1" x14ac:dyDescent="0.3">
      <c r="C18" s="47" t="s">
        <v>7</v>
      </c>
      <c r="D18" s="48"/>
      <c r="E18" s="24">
        <v>5</v>
      </c>
    </row>
    <row r="19" spans="3:5" ht="15" customHeight="1" thickBot="1" x14ac:dyDescent="0.35">
      <c r="C19" s="49" t="s">
        <v>6</v>
      </c>
      <c r="D19" s="50"/>
      <c r="E19" s="8">
        <v>1.0789999999999999E-2</v>
      </c>
    </row>
    <row r="20" spans="3:5" ht="15" customHeight="1" x14ac:dyDescent="0.3">
      <c r="C20" s="53" t="s">
        <v>8</v>
      </c>
      <c r="D20" s="54"/>
      <c r="E20" s="9">
        <f>FV(E19,E18*12,E17*-1)</f>
        <v>12566.537099773146</v>
      </c>
    </row>
    <row r="21" spans="3:5" ht="15" customHeight="1" thickBot="1" x14ac:dyDescent="0.35">
      <c r="C21" s="51" t="s">
        <v>9</v>
      </c>
      <c r="D21" s="52"/>
      <c r="E21" s="7">
        <f>E20*E19</f>
        <v>135.59293530655225</v>
      </c>
    </row>
    <row r="22" spans="3:5" ht="15.75" thickBot="1" x14ac:dyDescent="0.3"/>
    <row r="23" spans="3:5" ht="27" thickBot="1" x14ac:dyDescent="0.3">
      <c r="C23" s="41" t="s">
        <v>10</v>
      </c>
      <c r="D23" s="42"/>
      <c r="E23" s="43"/>
    </row>
    <row r="24" spans="3:5" x14ac:dyDescent="0.25">
      <c r="C24" s="10" t="s">
        <v>11</v>
      </c>
      <c r="D24" s="11" t="s">
        <v>12</v>
      </c>
      <c r="E24" s="12" t="s">
        <v>13</v>
      </c>
    </row>
    <row r="25" spans="3:5" x14ac:dyDescent="0.25">
      <c r="C25" s="18" t="s">
        <v>18</v>
      </c>
      <c r="D25" s="19">
        <f>FV($E$19,2*12,$E$17*-1)</f>
        <v>4084.1440946467824</v>
      </c>
      <c r="E25" s="20">
        <f>D25*$E$13</f>
        <v>24.504864567880695</v>
      </c>
    </row>
    <row r="26" spans="3:5" x14ac:dyDescent="0.25">
      <c r="C26" s="5" t="s">
        <v>14</v>
      </c>
      <c r="D26" s="14">
        <f>FV($E$19,5*12,$E$17*-1)</f>
        <v>12566.537099773146</v>
      </c>
      <c r="E26" s="15">
        <f t="shared" ref="E26:E28" si="0">D26*$E$13</f>
        <v>75.399222598638872</v>
      </c>
    </row>
    <row r="27" spans="3:5" x14ac:dyDescent="0.25">
      <c r="C27" s="18" t="s">
        <v>15</v>
      </c>
      <c r="D27" s="19">
        <f>FV($E$19,10*12,$E$17*-1)</f>
        <v>36492.631879525827</v>
      </c>
      <c r="E27" s="20">
        <f t="shared" si="0"/>
        <v>218.95579127715496</v>
      </c>
    </row>
    <row r="28" spans="3:5" x14ac:dyDescent="0.25">
      <c r="C28" s="5" t="s">
        <v>16</v>
      </c>
      <c r="D28" s="14">
        <f>FV($E$19,20*12,$E$17*-1)</f>
        <v>168779.76001456208</v>
      </c>
      <c r="E28" s="15">
        <f t="shared" si="0"/>
        <v>1012.6785600873725</v>
      </c>
    </row>
    <row r="29" spans="3:5" ht="15.75" thickBot="1" x14ac:dyDescent="0.3">
      <c r="C29" s="21" t="s">
        <v>17</v>
      </c>
      <c r="D29" s="22">
        <f>FV($E$19,30*12,$E$17*-1)</f>
        <v>648325.44825070712</v>
      </c>
      <c r="E29" s="23">
        <f>D29*$E$13</f>
        <v>3889.9526895042427</v>
      </c>
    </row>
    <row r="30" spans="3:5" ht="15.75" thickBot="1" x14ac:dyDescent="0.3">
      <c r="C30" s="44" t="s">
        <v>20</v>
      </c>
      <c r="D30" s="45"/>
      <c r="E30" s="46"/>
    </row>
    <row r="31" spans="3:5" ht="15.75" thickBot="1" x14ac:dyDescent="0.3">
      <c r="C31" s="13"/>
      <c r="D31" s="16">
        <f>FV($E$19,$C$31*12,$E$17*-1)</f>
        <v>0</v>
      </c>
      <c r="E31" s="17">
        <f>D31*$E$13</f>
        <v>0</v>
      </c>
    </row>
    <row r="32" spans="3:5" x14ac:dyDescent="0.25">
      <c r="C32" s="39"/>
      <c r="D32" s="40"/>
      <c r="E32" s="40"/>
    </row>
    <row r="33" spans="3:5" x14ac:dyDescent="0.25">
      <c r="C33" s="39"/>
      <c r="D33" s="40"/>
      <c r="E33" s="40"/>
    </row>
    <row r="34" spans="3:5" x14ac:dyDescent="0.25">
      <c r="C34" s="39"/>
      <c r="D34" s="40"/>
      <c r="E34" s="40"/>
    </row>
    <row r="35" spans="3:5" x14ac:dyDescent="0.25">
      <c r="C35" s="39"/>
      <c r="D35" s="40"/>
      <c r="E35" s="40"/>
    </row>
    <row r="36" spans="3:5" x14ac:dyDescent="0.25">
      <c r="C36" s="39"/>
      <c r="D36" s="40"/>
      <c r="E36" s="40"/>
    </row>
    <row r="37" spans="3:5" x14ac:dyDescent="0.25">
      <c r="C37" s="39"/>
      <c r="D37" s="40"/>
      <c r="E37" s="40"/>
    </row>
    <row r="38" spans="3:5" x14ac:dyDescent="0.25">
      <c r="C38" s="39"/>
      <c r="D38" s="40"/>
      <c r="E38" s="40"/>
    </row>
    <row r="39" spans="3:5" x14ac:dyDescent="0.25">
      <c r="C39" s="39"/>
      <c r="D39" s="40"/>
      <c r="E39" s="40"/>
    </row>
    <row r="40" spans="3:5" x14ac:dyDescent="0.25"/>
    <row r="41" spans="3:5" x14ac:dyDescent="0.25">
      <c r="C41" s="25" t="s">
        <v>21</v>
      </c>
      <c r="D41" s="25"/>
      <c r="E41" s="26" t="s">
        <v>24</v>
      </c>
    </row>
    <row r="42" spans="3:5" x14ac:dyDescent="0.25">
      <c r="C42" s="28" t="s">
        <v>26</v>
      </c>
      <c r="D42" s="27"/>
      <c r="E42" s="68">
        <f>Inv_Mensal</f>
        <v>150</v>
      </c>
    </row>
    <row r="43" spans="3:5" ht="15.75" thickBot="1" x14ac:dyDescent="0.3"/>
    <row r="44" spans="3:5" x14ac:dyDescent="0.25">
      <c r="C44" s="29" t="s">
        <v>27</v>
      </c>
      <c r="D44" s="30" t="s">
        <v>28</v>
      </c>
      <c r="E44" s="31" t="s">
        <v>29</v>
      </c>
    </row>
    <row r="45" spans="3:5" x14ac:dyDescent="0.25">
      <c r="C45" s="36" t="s">
        <v>30</v>
      </c>
      <c r="D45" s="32" cm="1">
        <f t="array" ref="D45">_xlfn.XLOOKUP($C45,Base_Validação!$F$2:$F$7,_xlfn.XLOOKUP(Sheet2!$E$41,Base_Validação!$G$1:$I$1,Base_Validação!$G$2:$I$7))</f>
        <v>0.5</v>
      </c>
      <c r="E45" s="38">
        <f>$E$42*D45</f>
        <v>75</v>
      </c>
    </row>
    <row r="46" spans="3:5" x14ac:dyDescent="0.25">
      <c r="C46" s="36" t="s">
        <v>31</v>
      </c>
      <c r="D46" s="32" cm="1">
        <f t="array" ref="D46">_xlfn.XLOOKUP($C46,Base_Validação!$F$2:$F$7,_xlfn.XLOOKUP(Sheet2!$E$41,Base_Validação!$G$1:$I$1,Base_Validação!$G$2:$I$7))</f>
        <v>0.1</v>
      </c>
      <c r="E46" s="38">
        <f t="shared" ref="E46:E50" si="1">$E$42*D46</f>
        <v>15</v>
      </c>
    </row>
    <row r="47" spans="3:5" x14ac:dyDescent="0.25">
      <c r="C47" s="36" t="s">
        <v>32</v>
      </c>
      <c r="D47" s="32" cm="1">
        <f t="array" ref="D47">_xlfn.XLOOKUP($C47,Base_Validação!$F$2:$F$7,_xlfn.XLOOKUP(Sheet2!$E$41,Base_Validação!$G$1:$I$1,Base_Validação!$G$2:$I$7))</f>
        <v>0.05</v>
      </c>
      <c r="E47" s="38">
        <f t="shared" si="1"/>
        <v>7.5</v>
      </c>
    </row>
    <row r="48" spans="3:5" x14ac:dyDescent="0.25">
      <c r="C48" s="36" t="s">
        <v>33</v>
      </c>
      <c r="D48" s="32" cm="1">
        <f t="array" ref="D48">_xlfn.XLOOKUP($C48,Base_Validação!$F$2:$F$7,_xlfn.XLOOKUP(Sheet2!$E$41,Base_Validação!$G$1:$I$1,Base_Validação!$G$2:$I$7))</f>
        <v>0.05</v>
      </c>
      <c r="E48" s="38">
        <f t="shared" si="1"/>
        <v>7.5</v>
      </c>
    </row>
    <row r="49" spans="3:5" x14ac:dyDescent="0.25">
      <c r="C49" s="36" t="s">
        <v>34</v>
      </c>
      <c r="D49" s="32" cm="1">
        <f t="array" ref="D49">_xlfn.XLOOKUP($C49,Base_Validação!$F$2:$F$7,_xlfn.XLOOKUP(Sheet2!$E$41,Base_Validação!$G$1:$I$1,Base_Validação!$G$2:$I$7))</f>
        <v>0.2</v>
      </c>
      <c r="E49" s="38">
        <f t="shared" si="1"/>
        <v>30</v>
      </c>
    </row>
    <row r="50" spans="3:5" ht="15.75" thickBot="1" x14ac:dyDescent="0.3">
      <c r="C50" s="36" t="s">
        <v>35</v>
      </c>
      <c r="D50" s="32" cm="1">
        <f t="array" ref="D50">_xlfn.XLOOKUP($C50,Base_Validação!$F$2:$F$7,_xlfn.XLOOKUP(Sheet2!$E$41,Base_Validação!$G$1:$I$1,Base_Validação!$G$2:$I$7))</f>
        <v>0.1</v>
      </c>
      <c r="E50" s="38">
        <f t="shared" si="1"/>
        <v>15</v>
      </c>
    </row>
    <row r="51" spans="3:5" ht="15.75" thickBot="1" x14ac:dyDescent="0.3">
      <c r="C51" s="33" t="s">
        <v>36</v>
      </c>
      <c r="D51" s="34"/>
      <c r="E51" s="35">
        <f>SUM(E45:E50)</f>
        <v>150</v>
      </c>
    </row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5" s="1" customFormat="1" hidden="1" x14ac:dyDescent="0.25"/>
    <row r="66" s="1" customFormat="1" hidden="1" x14ac:dyDescent="0.25"/>
    <row r="67" s="1" customFormat="1" hidden="1" x14ac:dyDescent="0.25"/>
    <row r="68" s="1" customFormat="1" hidden="1" x14ac:dyDescent="0.25"/>
    <row r="69" s="1" customFormat="1" hidden="1" x14ac:dyDescent="0.25"/>
    <row r="70" s="1" customFormat="1" hidden="1" x14ac:dyDescent="0.25"/>
    <row r="71" s="1" customFormat="1" hidden="1" x14ac:dyDescent="0.25"/>
    <row r="72" s="1" customFormat="1" hidden="1" x14ac:dyDescent="0.25"/>
    <row r="73" s="1" customFormat="1" hidden="1" x14ac:dyDescent="0.25"/>
    <row r="74" s="1" customFormat="1" hidden="1" x14ac:dyDescent="0.25"/>
    <row r="75" s="1" customFormat="1" hidden="1" x14ac:dyDescent="0.25"/>
    <row r="76" s="1" customFormat="1" hidden="1" x14ac:dyDescent="0.25"/>
    <row r="77" s="1" customFormat="1" hidden="1" x14ac:dyDescent="0.25"/>
    <row r="78" s="1" customFormat="1" hidden="1" x14ac:dyDescent="0.25"/>
    <row r="79" s="1" customFormat="1" hidden="1" x14ac:dyDescent="0.25"/>
    <row r="80" s="1" customFormat="1" hidden="1" x14ac:dyDescent="0.25"/>
    <row r="81" s="1" customFormat="1" hidden="1" x14ac:dyDescent="0.25"/>
    <row r="82" s="1" customFormat="1" hidden="1" x14ac:dyDescent="0.25"/>
    <row r="83" s="1" customFormat="1" hidden="1" x14ac:dyDescent="0.25"/>
    <row r="84" s="1" customFormat="1" hidden="1" x14ac:dyDescent="0.25"/>
    <row r="85" s="1" customFormat="1" hidden="1" x14ac:dyDescent="0.25"/>
    <row r="86" s="1" customFormat="1" hidden="1" x14ac:dyDescent="0.25"/>
  </sheetData>
  <mergeCells count="12">
    <mergeCell ref="C11:E11"/>
    <mergeCell ref="C16:E16"/>
    <mergeCell ref="C17:D17"/>
    <mergeCell ref="C20:D20"/>
    <mergeCell ref="C12:D12"/>
    <mergeCell ref="C13:D13"/>
    <mergeCell ref="C14:D14"/>
    <mergeCell ref="C23:E23"/>
    <mergeCell ref="C30:E30"/>
    <mergeCell ref="C18:D18"/>
    <mergeCell ref="C19:D19"/>
    <mergeCell ref="C21:D2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DDB768-EDA8-4D76-9512-7A0699A9FA9C}">
          <x14:formula1>
            <xm:f>Base_Validação!$A$2:$A$52</xm:f>
          </x14:formula1>
          <xm:sqref>C31:C39</xm:sqref>
        </x14:dataValidation>
        <x14:dataValidation type="list" allowBlank="1" showInputMessage="1" showErrorMessage="1" xr:uid="{87049488-9ADF-46C6-B3D5-2C1CC6D0D20F}">
          <x14:formula1>
            <xm:f>Base_Validação!$C$2:$C$4</xm:f>
          </x14:formula1>
          <xm:sqref>E41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FBD4-4B0F-4D27-B1E7-1ECA48A8D41C}">
  <sheetPr>
    <tabColor rgb="FF92D050"/>
  </sheetPr>
  <dimension ref="A1:I52"/>
  <sheetViews>
    <sheetView workbookViewId="0">
      <selection activeCell="F1" sqref="F1:I8"/>
    </sheetView>
  </sheetViews>
  <sheetFormatPr defaultRowHeight="15" x14ac:dyDescent="0.25"/>
  <cols>
    <col min="1" max="1" width="15.7109375" bestFit="1" customWidth="1"/>
    <col min="6" max="6" width="18.5703125" bestFit="1" customWidth="1"/>
    <col min="7" max="7" width="12.140625" bestFit="1" customWidth="1"/>
    <col min="8" max="8" width="10" bestFit="1" customWidth="1"/>
    <col min="9" max="9" width="9.42578125" bestFit="1" customWidth="1"/>
  </cols>
  <sheetData>
    <row r="1" spans="1:9" ht="15.75" customHeight="1" x14ac:dyDescent="0.25">
      <c r="A1" t="s">
        <v>19</v>
      </c>
      <c r="C1" t="s">
        <v>22</v>
      </c>
      <c r="G1" t="s">
        <v>25</v>
      </c>
      <c r="H1" t="s">
        <v>23</v>
      </c>
      <c r="I1" t="s">
        <v>24</v>
      </c>
    </row>
    <row r="2" spans="1:9" ht="15.75" customHeight="1" x14ac:dyDescent="0.25">
      <c r="C2" t="s">
        <v>25</v>
      </c>
      <c r="F2" t="s">
        <v>30</v>
      </c>
      <c r="G2" s="37">
        <v>0.3</v>
      </c>
      <c r="H2" s="37">
        <v>0.32</v>
      </c>
      <c r="I2" s="37">
        <v>0.5</v>
      </c>
    </row>
    <row r="3" spans="1:9" x14ac:dyDescent="0.25">
      <c r="A3">
        <v>1</v>
      </c>
      <c r="C3" t="s">
        <v>23</v>
      </c>
      <c r="F3" t="s">
        <v>31</v>
      </c>
      <c r="G3" s="37">
        <v>0.5</v>
      </c>
      <c r="H3" s="37">
        <v>0.4</v>
      </c>
      <c r="I3" s="37">
        <v>0.1</v>
      </c>
    </row>
    <row r="4" spans="1:9" x14ac:dyDescent="0.25">
      <c r="A4">
        <v>2</v>
      </c>
      <c r="C4" t="s">
        <v>24</v>
      </c>
      <c r="F4" t="s">
        <v>32</v>
      </c>
      <c r="G4" s="37">
        <v>0.1</v>
      </c>
      <c r="H4" s="37">
        <v>0.08</v>
      </c>
      <c r="I4" s="37">
        <v>0.05</v>
      </c>
    </row>
    <row r="5" spans="1:9" x14ac:dyDescent="0.25">
      <c r="A5">
        <v>3</v>
      </c>
      <c r="C5" s="67" t="s">
        <v>38</v>
      </c>
      <c r="D5" s="67"/>
      <c r="F5" t="s">
        <v>33</v>
      </c>
      <c r="G5" s="37">
        <v>0.1</v>
      </c>
      <c r="H5" s="37">
        <v>0.1</v>
      </c>
      <c r="I5" s="37">
        <v>0.05</v>
      </c>
    </row>
    <row r="6" spans="1:9" x14ac:dyDescent="0.25">
      <c r="A6">
        <v>4</v>
      </c>
      <c r="F6" t="s">
        <v>34</v>
      </c>
      <c r="G6" s="37">
        <v>0</v>
      </c>
      <c r="H6" s="37">
        <v>0.1</v>
      </c>
      <c r="I6" s="37">
        <v>0.2</v>
      </c>
    </row>
    <row r="7" spans="1:9" x14ac:dyDescent="0.25">
      <c r="A7">
        <v>5</v>
      </c>
      <c r="F7" t="s">
        <v>35</v>
      </c>
      <c r="G7" s="37">
        <v>0</v>
      </c>
      <c r="H7" s="37">
        <v>0.1</v>
      </c>
      <c r="I7" s="37">
        <v>0.1</v>
      </c>
    </row>
    <row r="8" spans="1:9" x14ac:dyDescent="0.25">
      <c r="A8">
        <v>6</v>
      </c>
      <c r="F8" s="67" t="s">
        <v>37</v>
      </c>
      <c r="G8" s="67"/>
      <c r="H8" s="67"/>
      <c r="I8" s="67"/>
    </row>
    <row r="9" spans="1:9" x14ac:dyDescent="0.25">
      <c r="A9">
        <v>7</v>
      </c>
    </row>
    <row r="10" spans="1:9" x14ac:dyDescent="0.25">
      <c r="A10">
        <v>8</v>
      </c>
    </row>
    <row r="11" spans="1:9" x14ac:dyDescent="0.25">
      <c r="A11">
        <v>9</v>
      </c>
    </row>
    <row r="12" spans="1:9" x14ac:dyDescent="0.25">
      <c r="A12">
        <v>10</v>
      </c>
    </row>
    <row r="13" spans="1:9" x14ac:dyDescent="0.25">
      <c r="A13">
        <v>11</v>
      </c>
    </row>
    <row r="14" spans="1:9" x14ac:dyDescent="0.25">
      <c r="A14">
        <v>12</v>
      </c>
    </row>
    <row r="15" spans="1:9" x14ac:dyDescent="0.25">
      <c r="A15">
        <v>13</v>
      </c>
    </row>
    <row r="16" spans="1: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</sheetData>
  <mergeCells count="2">
    <mergeCell ref="F8:I8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Sheet2</vt:lpstr>
      <vt:lpstr>Base_Validação</vt:lpstr>
      <vt:lpstr>Inv_Mensal</vt:lpstr>
      <vt:lpstr>Periodo_Invest</vt:lpstr>
      <vt:lpstr>Rendimento_Carteira</vt:lpstr>
      <vt:lpstr>Salario</vt:lpstr>
      <vt:lpstr>Sugestão_Investimento</vt:lpstr>
      <vt:lpstr>Tax_RenMensal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Ferreira, Raphael</dc:creator>
  <cp:lastModifiedBy>Ferreira, Raphael</cp:lastModifiedBy>
  <dcterms:created xsi:type="dcterms:W3CDTF">2025-12-15T18:58:21Z</dcterms:created>
  <dcterms:modified xsi:type="dcterms:W3CDTF">2025-12-16T02:56:03Z</dcterms:modified>
</cp:coreProperties>
</file>